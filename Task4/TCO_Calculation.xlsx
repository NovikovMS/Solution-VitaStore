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mn\PycharmProjects\my\study\solution_architecture_module_3\Task4\"/>
    </mc:Choice>
  </mc:AlternateContent>
  <xr:revisionPtr revIDLastSave="0" documentId="13_ncr:1_{FD281EC7-2586-44BE-A776-9222F1C777C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TCO 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D12" i="1"/>
  <c r="D11" i="1"/>
  <c r="E11" i="1"/>
  <c r="C12" i="1"/>
  <c r="C11" i="1"/>
  <c r="H10" i="1"/>
  <c r="G10" i="1"/>
  <c r="F10" i="1"/>
  <c r="E10" i="1"/>
  <c r="D10" i="1"/>
  <c r="C10" i="1"/>
  <c r="F9" i="1"/>
  <c r="G9" i="1"/>
  <c r="H9" i="1"/>
  <c r="D9" i="1"/>
  <c r="E9" i="1"/>
  <c r="C9" i="1"/>
</calcChain>
</file>

<file path=xl/sharedStrings.xml><?xml version="1.0" encoding="utf-8"?>
<sst xmlns="http://schemas.openxmlformats.org/spreadsheetml/2006/main" count="26" uniqueCount="21">
  <si>
    <t>Категория затрат</t>
  </si>
  <si>
    <t>Статья расходов</t>
  </si>
  <si>
    <t>Год 1 (As-Is)</t>
  </si>
  <si>
    <t>Год 2 (As-Is)</t>
  </si>
  <si>
    <t>Год 3 (As-Is)</t>
  </si>
  <si>
    <t>Год 1 (To-Be)</t>
  </si>
  <si>
    <t>Год 2 (To-Be)</t>
  </si>
  <si>
    <t>Год 3 (To-Be)</t>
  </si>
  <si>
    <t>CapEx</t>
  </si>
  <si>
    <t>Локальные серверы и ПК (As-Is - 33% обновление парка / To-Be - нет)</t>
  </si>
  <si>
    <t>Планшеты и шлюзы HAL (To-Be - закупка 100 шт в год 1, далее 10% замена)</t>
  </si>
  <si>
    <t>Разработка и облачная миграция (R&amp;D, одноразовые инвестиции)</t>
  </si>
  <si>
    <t>OpEx</t>
  </si>
  <si>
    <t>Лицензии на локальное ПО (Windows Server, SQL Server)</t>
  </si>
  <si>
    <t>Облачная инфраструктура и SaaS (Managed DB, Cloud POS)</t>
  </si>
  <si>
    <t>ФОТ ИТ-поддержки (Выезды vs Удаленная поддержка)</t>
  </si>
  <si>
    <t>Каналы связи (As-Is базовые, To-Be с резервированием 4G)</t>
  </si>
  <si>
    <t>Итого</t>
  </si>
  <si>
    <t>Кумулятивный итог</t>
  </si>
  <si>
    <t>Разница (Экономия To-Be по отношению к As-Is)</t>
  </si>
  <si>
    <t>Кумулятивная экономия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</si>
</sst>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5" sqref="E15"/>
    </sheetView>
  </sheetViews>
  <sheetFormatPr defaultRowHeight="14.25" x14ac:dyDescent="0.45"/>
  <cols>
    <col min="1" max="1" width="47" customWidth="1"/>
    <col min="2" max="2" width="60" customWidth="1"/>
    <col min="3" max="8" width="15" customWidth="1"/>
  </cols>
  <sheetData>
    <row r="1" spans="1:8" ht="14.65" thickBot="1" x14ac:dyDescent="0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45">
      <c r="A2" s="2" t="s">
        <v>8</v>
      </c>
      <c r="B2" s="2" t="s">
        <v>9</v>
      </c>
      <c r="C2" s="2">
        <v>5</v>
      </c>
      <c r="D2" s="2">
        <v>5</v>
      </c>
      <c r="E2" s="2">
        <v>5</v>
      </c>
      <c r="F2" s="2">
        <v>0</v>
      </c>
      <c r="G2" s="2">
        <v>0</v>
      </c>
      <c r="H2" s="2">
        <v>0</v>
      </c>
    </row>
    <row r="3" spans="1:8" x14ac:dyDescent="0.45">
      <c r="A3" s="1" t="s">
        <v>8</v>
      </c>
      <c r="B3" s="1" t="s">
        <v>10</v>
      </c>
      <c r="C3" s="1">
        <v>0</v>
      </c>
      <c r="D3" s="1">
        <v>0</v>
      </c>
      <c r="E3" s="1">
        <v>0</v>
      </c>
      <c r="F3" s="1">
        <v>5</v>
      </c>
      <c r="G3" s="1">
        <v>0.5</v>
      </c>
      <c r="H3" s="1">
        <v>0.5</v>
      </c>
    </row>
    <row r="4" spans="1:8" x14ac:dyDescent="0.45">
      <c r="A4" s="1" t="s">
        <v>8</v>
      </c>
      <c r="B4" s="1" t="s">
        <v>11</v>
      </c>
      <c r="C4" s="1">
        <v>0</v>
      </c>
      <c r="D4" s="1">
        <v>0</v>
      </c>
      <c r="E4" s="1">
        <v>0</v>
      </c>
      <c r="F4" s="1">
        <v>15</v>
      </c>
      <c r="G4" s="1">
        <v>0</v>
      </c>
      <c r="H4" s="1">
        <v>0</v>
      </c>
    </row>
    <row r="5" spans="1:8" x14ac:dyDescent="0.45">
      <c r="A5" s="1" t="s">
        <v>12</v>
      </c>
      <c r="B5" s="1" t="s">
        <v>13</v>
      </c>
      <c r="C5" s="1">
        <v>5</v>
      </c>
      <c r="D5" s="1">
        <v>5</v>
      </c>
      <c r="E5" s="1">
        <v>5</v>
      </c>
      <c r="F5" s="1">
        <v>0</v>
      </c>
      <c r="G5" s="1">
        <v>0</v>
      </c>
      <c r="H5" s="1">
        <v>0</v>
      </c>
    </row>
    <row r="6" spans="1:8" x14ac:dyDescent="0.45">
      <c r="A6" s="1" t="s">
        <v>12</v>
      </c>
      <c r="B6" s="1" t="s">
        <v>14</v>
      </c>
      <c r="C6" s="1">
        <v>0</v>
      </c>
      <c r="D6" s="1">
        <v>0</v>
      </c>
      <c r="E6" s="1">
        <v>0</v>
      </c>
      <c r="F6" s="1">
        <v>3</v>
      </c>
      <c r="G6" s="1">
        <v>3</v>
      </c>
      <c r="H6" s="1">
        <v>3</v>
      </c>
    </row>
    <row r="7" spans="1:8" x14ac:dyDescent="0.45">
      <c r="A7" s="1" t="s">
        <v>12</v>
      </c>
      <c r="B7" s="1" t="s">
        <v>15</v>
      </c>
      <c r="C7" s="1">
        <v>11</v>
      </c>
      <c r="D7" s="1">
        <v>11</v>
      </c>
      <c r="E7" s="1">
        <v>11</v>
      </c>
      <c r="F7" s="1">
        <v>3.6</v>
      </c>
      <c r="G7" s="1">
        <v>3.6</v>
      </c>
      <c r="H7" s="1">
        <v>3.6</v>
      </c>
    </row>
    <row r="8" spans="1:8" x14ac:dyDescent="0.45">
      <c r="A8" s="1" t="s">
        <v>12</v>
      </c>
      <c r="B8" s="1" t="s">
        <v>16</v>
      </c>
      <c r="C8" s="1">
        <v>2.4</v>
      </c>
      <c r="D8" s="1">
        <v>2.4</v>
      </c>
      <c r="E8" s="1">
        <v>2.4</v>
      </c>
      <c r="F8" s="1">
        <v>3.6</v>
      </c>
      <c r="G8" s="1">
        <v>3.6</v>
      </c>
      <c r="H8" s="1">
        <v>3.6</v>
      </c>
    </row>
    <row r="9" spans="1:8" ht="14.65" thickBot="1" x14ac:dyDescent="0.5">
      <c r="A9" s="6" t="s">
        <v>17</v>
      </c>
      <c r="B9" s="6"/>
      <c r="C9" s="6">
        <f>SUM(C2:C8)</f>
        <v>23.4</v>
      </c>
      <c r="D9" s="6">
        <f t="shared" ref="D9:E9" si="0">SUM(D2:D8)</f>
        <v>23.4</v>
      </c>
      <c r="E9" s="6">
        <f t="shared" si="0"/>
        <v>23.4</v>
      </c>
      <c r="F9" s="6">
        <f t="shared" ref="F9" si="1">SUM(F2:F8)</f>
        <v>30.200000000000003</v>
      </c>
      <c r="G9" s="6">
        <f t="shared" ref="G9" si="2">SUM(G2:G8)</f>
        <v>10.7</v>
      </c>
      <c r="H9" s="6">
        <f t="shared" ref="H9" si="3">SUM(H2:H8)</f>
        <v>10.7</v>
      </c>
    </row>
    <row r="10" spans="1:8" x14ac:dyDescent="0.45">
      <c r="A10" s="7" t="s">
        <v>18</v>
      </c>
      <c r="B10" s="8"/>
      <c r="C10" s="8">
        <f>C9</f>
        <v>23.4</v>
      </c>
      <c r="D10" s="8">
        <f>C10+D9</f>
        <v>46.8</v>
      </c>
      <c r="E10" s="8">
        <f>D10+E9</f>
        <v>70.199999999999989</v>
      </c>
      <c r="F10" s="8">
        <f>F9</f>
        <v>30.200000000000003</v>
      </c>
      <c r="G10" s="8">
        <f>F10+G9</f>
        <v>40.900000000000006</v>
      </c>
      <c r="H10" s="9">
        <f>G10+H9</f>
        <v>51.600000000000009</v>
      </c>
    </row>
    <row r="11" spans="1:8" x14ac:dyDescent="0.45">
      <c r="A11" s="10" t="s">
        <v>19</v>
      </c>
      <c r="B11" s="1"/>
      <c r="C11" s="1">
        <f>C9-F9</f>
        <v>-6.8000000000000043</v>
      </c>
      <c r="D11" s="1">
        <f t="shared" ref="D11:E11" si="4">D9-G9</f>
        <v>12.7</v>
      </c>
      <c r="E11" s="1">
        <f t="shared" si="4"/>
        <v>12.7</v>
      </c>
      <c r="F11" s="1"/>
      <c r="G11" s="1"/>
      <c r="H11" s="11"/>
    </row>
    <row r="12" spans="1:8" ht="14.65" thickBot="1" x14ac:dyDescent="0.5">
      <c r="A12" s="12" t="s">
        <v>20</v>
      </c>
      <c r="B12" s="13"/>
      <c r="C12" s="13">
        <f>C11</f>
        <v>-6.8000000000000043</v>
      </c>
      <c r="D12" s="13">
        <f>C12+D11</f>
        <v>5.899999999999995</v>
      </c>
      <c r="E12" s="13">
        <f>D12+E11</f>
        <v>18.599999999999994</v>
      </c>
      <c r="F12" s="13"/>
      <c r="G12" s="13"/>
      <c r="H12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TCO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Новиков</cp:lastModifiedBy>
  <dcterms:created xsi:type="dcterms:W3CDTF">2026-07-11T17:03:24Z</dcterms:created>
  <dcterms:modified xsi:type="dcterms:W3CDTF">2026-07-11T17:09:27Z</dcterms:modified>
</cp:coreProperties>
</file>